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🔍 Prospectos" sheetId="1" state="visible" r:id="rId3"/>
    <sheet name="📞 Pipeline" sheetId="2" state="visible" r:id="rId4"/>
    <sheet name="✅ Clientes" sheetId="3" state="visible" r:id="rId5"/>
    <sheet name="📢 Conteni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<sst xmlns="http://schemas.openxmlformats.org/spreadsheetml/2006/main" count="194" uniqueCount="148">
  <si>
    <t xml:space="preserve">TIMELESS — CRM MASTER · PROSPECTOS</t>
  </si>
  <si>
    <t xml:space="preserve">Nombre Hotel</t>
  </si>
  <si>
    <t xml:space="preserve">Ciudad / País</t>
  </si>
  <si>
    <t xml:space="preserve">Tipo negocio</t>
  </si>
  <si>
    <t xml:space="preserve"># Habitaciones</t>
  </si>
  <si>
    <t xml:space="preserve">Score Booking</t>
  </si>
  <si>
    <t xml:space="preserve">Rating Google</t>
  </si>
  <si>
    <t xml:space="preserve">Tiene web?</t>
  </si>
  <si>
    <t xml:space="preserve">Instagram?</t>
  </si>
  <si>
    <t xml:space="preserve">SCORE IA (1-10)</t>
  </si>
  <si>
    <t xml:space="preserve">Estado</t>
  </si>
  <si>
    <t xml:space="preserve">Email encontrado</t>
  </si>
  <si>
    <t xml:space="preserve">Fuente email</t>
  </si>
  <si>
    <t xml:space="preserve">Fecha añadido</t>
  </si>
  <si>
    <t xml:space="preserve">Enviado?</t>
  </si>
  <si>
    <t xml:space="preserve">Fecha envío</t>
  </si>
  <si>
    <t xml:space="preserve">Respuesta?</t>
  </si>
  <si>
    <t xml:space="preserve">Notas</t>
  </si>
  <si>
    <t xml:space="preserve">Asignado a</t>
  </si>
  <si>
    <t xml:space="preserve">Hotel Boutique Ejemplo</t>
  </si>
  <si>
    <t xml:space="preserve">Mendoza, AR</t>
  </si>
  <si>
    <t xml:space="preserve">Hotel</t>
  </si>
  <si>
    <t xml:space="preserve">Sí</t>
  </si>
  <si>
    <t xml:space="preserve">Nuevo</t>
  </si>
  <si>
    <t xml:space="preserve">Google Maps</t>
  </si>
  <si>
    <t xml:space="preserve">No</t>
  </si>
  <si>
    <t xml:space="preserve">Matías</t>
  </si>
  <si>
    <t xml:space="preserve">Casa Rural del Sur</t>
  </si>
  <si>
    <t xml:space="preserve">Cartagena, CO</t>
  </si>
  <si>
    <t xml:space="preserve">Finca Las Palmas</t>
  </si>
  <si>
    <t xml:space="preserve">Montevideo, UY</t>
  </si>
  <si>
    <t xml:space="preserve">Web scraping</t>
  </si>
  <si>
    <t xml:space="preserve">Hotel Punta Verde</t>
  </si>
  <si>
    <t xml:space="preserve">Bogotá, CO</t>
  </si>
  <si>
    <t xml:space="preserve">Contactado</t>
  </si>
  <si>
    <t xml:space="preserve">gerencia@puntaverde.com</t>
  </si>
  <si>
    <t xml:space="preserve">Hunter.io</t>
  </si>
  <si>
    <t xml:space="preserve">Seguimiento en día 5</t>
  </si>
  <si>
    <t xml:space="preserve">Boutique San Martín</t>
  </si>
  <si>
    <t xml:space="preserve">Santiago, CL</t>
  </si>
  <si>
    <t xml:space="preserve">Interesado</t>
  </si>
  <si>
    <t xml:space="preserve">info@sanmartin.cl</t>
  </si>
  <si>
    <t xml:space="preserve">LinkedIn</t>
  </si>
  <si>
    <t xml:space="preserve">Pidió demo — mover a Pipeline</t>
  </si>
  <si>
    <t xml:space="preserve">TIMELESS — PIPELINE DE VENTAS (EN CONVERSACIÓN ACTIVA)</t>
  </si>
  <si>
    <t xml:space="preserve">Contacto (nombre)</t>
  </si>
  <si>
    <t xml:space="preserve">Email</t>
  </si>
  <si>
    <t xml:space="preserve">WhatsApp</t>
  </si>
  <si>
    <t xml:space="preserve">Etapa</t>
  </si>
  <si>
    <t xml:space="preserve">Fecha primer contacto</t>
  </si>
  <si>
    <t xml:space="preserve">Último contacto</t>
  </si>
  <si>
    <t xml:space="preserve">Próximo paso</t>
  </si>
  <si>
    <t xml:space="preserve">Fecha próximo paso</t>
  </si>
  <si>
    <t xml:space="preserve">Plan de interés</t>
  </si>
  <si>
    <t xml:space="preserve">MRR estimado ($)</t>
  </si>
  <si>
    <t xml:space="preserve">Probabilidad cierre</t>
  </si>
  <si>
    <t xml:space="preserve">María González</t>
  </si>
  <si>
    <t xml:space="preserve">+56 9 1234 5678</t>
  </si>
  <si>
    <t xml:space="preserve">Demo agendada</t>
  </si>
  <si>
    <t xml:space="preserve">Enviar demo personalizada + link panel</t>
  </si>
  <si>
    <t xml:space="preserve">Starter $79</t>
  </si>
  <si>
    <t xml:space="preserve">70%</t>
  </si>
  <si>
    <t xml:space="preserve">Muy interesada. Preguntó si soporta inglés.</t>
  </si>
  <si>
    <t xml:space="preserve">Hotel del Parque</t>
  </si>
  <si>
    <t xml:space="preserve">Roberto Lima</t>
  </si>
  <si>
    <t xml:space="preserve">rlima@hotelparque.com</t>
  </si>
  <si>
    <t xml:space="preserve">+54 9 2234 5678</t>
  </si>
  <si>
    <t xml:space="preserve">Propuesta enviada</t>
  </si>
  <si>
    <t xml:space="preserve">Follow-up — ¿vio la propuesta?</t>
  </si>
  <si>
    <t xml:space="preserve">Growth $149</t>
  </si>
  <si>
    <t xml:space="preserve">45%</t>
  </si>
  <si>
    <t xml:space="preserve">Tiene dudas sobre integración con su PMS actual.</t>
  </si>
  <si>
    <t xml:space="preserve">Casa Azul Boutique</t>
  </si>
  <si>
    <t xml:space="preserve">Ana Ruiz</t>
  </si>
  <si>
    <t xml:space="preserve">ana@casaazul.mx</t>
  </si>
  <si>
    <t xml:space="preserve">+52 55 1234 5678</t>
  </si>
  <si>
    <t xml:space="preserve">Negociando</t>
  </si>
  <si>
    <t xml:space="preserve">Llamada de cierre — confirmar plan</t>
  </si>
  <si>
    <t xml:space="preserve">85%</t>
  </si>
  <si>
    <t xml:space="preserve">Quiere empezar cuanto antes. Pide descuento primer mes.</t>
  </si>
  <si>
    <t xml:space="preserve">MRR total en pipeline:</t>
  </si>
  <si>
    <t xml:space="preserve">TIMELESS — CLIENTES ACTIVOS</t>
  </si>
  <si>
    <t xml:space="preserve">Nombre negocio</t>
  </si>
  <si>
    <t xml:space="preserve">Dueño/Contacto</t>
  </si>
  <si>
    <t xml:space="preserve">Plan</t>
  </si>
  <si>
    <t xml:space="preserve">MRR ($)</t>
  </si>
  <si>
    <t xml:space="preserve">Fecha inicio</t>
  </si>
  <si>
    <t xml:space="preserve">Próx. renovación</t>
  </si>
  <si>
    <t xml:space="preserve">Bot name</t>
  </si>
  <si>
    <t xml:space="preserve">Chat URL</t>
  </si>
  <si>
    <t xml:space="preserve">Panel URL</t>
  </si>
  <si>
    <t xml:space="preserve">client_id Supabase</t>
  </si>
  <si>
    <t xml:space="preserve">Sheet ID Google</t>
  </si>
  <si>
    <t xml:space="preserve">Estado Emma</t>
  </si>
  <si>
    <t xml:space="preserve">Tareas pendientes</t>
  </si>
  <si>
    <t xml:space="preserve">Sun Life Beach Hotel</t>
  </si>
  <si>
    <t xml:space="preserve">Analía (Ana)</t>
  </si>
  <si>
    <t xml:space="preserve">ana@sunlifebeachhotel.com</t>
  </si>
  <si>
    <t xml:space="preserve">+1 813-447-1111</t>
  </si>
  <si>
    <t xml:space="preserve">Starter</t>
  </si>
  <si>
    <t xml:space="preserve">01/03/2025</t>
  </si>
  <si>
    <t xml:space="preserve">Emma</t>
  </si>
  <si>
    <t xml:space="preserve">https://chic-begonia-1708bb.netlify.app/chat-sunlife.html</t>
  </si>
  <si>
    <t xml:space="preserve">https://chic-begonia-1708bb.netlify.app/panel-sunlife.html</t>
  </si>
  <si>
    <t xml:space="preserve">sunlife_beach_hotel</t>
  </si>
  <si>
    <t xml:space="preserve">1P4iarHax1XdZDlw-oioJ1sxIqY77Rm_ACe8hCm2bwyM</t>
  </si>
  <si>
    <t xml:space="preserve">Activa ✓</t>
  </si>
  <si>
    <t xml:space="preserve">Reconectar con Ana. Activar OneDrive. WhatsApp pendiente.</t>
  </si>
  <si>
    <t xml:space="preserve">Primer cliente. PAUSADO — Ana no disponible.</t>
  </si>
  <si>
    <t xml:space="preserve">MRR Total:</t>
  </si>
  <si>
    <t xml:space="preserve">Clientes activos:</t>
  </si>
  <si>
    <t xml:space="preserve">TIMELESS — APROBACIÓN DE CONTENIDO (LinkedIn + Instagram)</t>
  </si>
  <si>
    <t xml:space="preserve">Semana</t>
  </si>
  <si>
    <t xml:space="preserve">Plataforma</t>
  </si>
  <si>
    <t xml:space="preserve">Tipo</t>
  </si>
  <si>
    <t xml:space="preserve">Tema / Hook</t>
  </si>
  <si>
    <t xml:space="preserve">Copy completo</t>
  </si>
  <si>
    <t xml:space="preserve">CTA</t>
  </si>
  <si>
    <t xml:space="preserve">Hashtags</t>
  </si>
  <si>
    <t xml:space="preserve">Fecha aprobación</t>
  </si>
  <si>
    <t xml:space="preserve">Fecha publicación</t>
  </si>
  <si>
    <t xml:space="preserve">S1</t>
  </si>
  <si>
    <t xml:space="preserve">Post educativo</t>
  </si>
  <si>
    <t xml:space="preserve">¿Cuánto perdés por no responder en 4 minutos?</t>
  </si>
  <si>
    <t xml:space="preserve">El 78% de los huéspedes elige el primer hotel que responde su consulta.
¿Tu recepcionista responde a las 2am? Emma sí.
En Sun Life Beach Hotel, Emma atendió 40 consultas en su primera semana — sin que Ana moviera un dedo.
¿Cuántas reservas está perdiendo tu hotel hoy?</t>
  </si>
  <si>
    <t xml:space="preserve">👉 Probá Emma gratis: [link demo]</t>
  </si>
  <si>
    <t xml:space="preserve">#hotelería #automatización #IA #hotelesboutique #recepciónistavirtual</t>
  </si>
  <si>
    <t xml:space="preserve">Aprobado ✓</t>
  </si>
  <si>
    <t xml:space="preserve">Instagram</t>
  </si>
  <si>
    <t xml:space="preserve">Reel</t>
  </si>
  <si>
    <t xml:space="preserve">Emma responde a las 3am — ¿tu hotel puede decir lo mismo?</t>
  </si>
  <si>
    <t xml:space="preserve">Video: screen recording del chat Emma respondiendo a las 3:14am a una consulta de precio y disponibilidad. Overlay: 'Mientras tu hotel dormía...' → 'Emma atendió esto.'</t>
  </si>
  <si>
    <t xml:space="preserve">Probá gratis → link en bio</t>
  </si>
  <si>
    <t xml:space="preserve">#emma #asistentevirtual #hotel #automatizacion #IA</t>
  </si>
  <si>
    <t xml:space="preserve">Borrador</t>
  </si>
  <si>
    <t xml:space="preserve">Necesita screen grab del chat real de Emma</t>
  </si>
  <si>
    <t xml:space="preserve">S2</t>
  </si>
  <si>
    <t xml:space="preserve">Case study</t>
  </si>
  <si>
    <t xml:space="preserve">De 0 a recepcionista IA en 24 horas — así lo hicimos</t>
  </si>
  <si>
    <t xml:space="preserve">Hace 3 meses, Ana (dueña de Sun Life Beach Hotel en Florida) nos contactó frustrada: perdía reservas porque no podía responder consultas de madrugada.
Hoy Emma atiende cada mensaje en &lt; 3 segundos, 24/7.
Así fue el proceso:
1. Completó nuestro formulario de onboarding en 10 minutos
2. En &lt; 24h, Emma ya conocía su hotel, precios y políticas
3. La instalamos en su web — sin tocar código
¿Querés lo mismo para tu hotel?</t>
  </si>
  <si>
    <t xml:space="preserve">👉 Empezá hoy: [link onboarding]</t>
  </si>
  <si>
    <t xml:space="preserve">#testimonial #hoteltech #IA #startups #automatizacion</t>
  </si>
  <si>
    <t xml:space="preserve">Confirmar datos reales con Ana antes de publicar</t>
  </si>
  <si>
    <t xml:space="preserve">Story</t>
  </si>
  <si>
    <t xml:space="preserve">¿Sabías que el tiempo promedio de respuesta de hoteles es 4 horas?</t>
  </si>
  <si>
    <t xml:space="preserve">Slide 1: '⏱ Tiempo promedio de respuesta de hoteles: 4 horas' | Slide 2: '🤖 Tiempo de respuesta de Emma: &lt; 3 segundos' | Slide 3: 'Probá gratis →' con link</t>
  </si>
  <si>
    <t xml:space="preserve">Link en bio</t>
  </si>
  <si>
    <t xml:space="preserve">#hotel #turismo #automatizacion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</si>
</sst>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814"/>
      <name val="Arial"/>
      <family val="0"/>
      <charset val="1"/>
    </font>
    <font>
      <b val="true"/>
      <sz val="10"/>
      <color rgb="FF1A1814"/>
      <name val="Arial"/>
      <family val="0"/>
      <charset val="1"/>
    </font>
    <font>
      <b val="true"/>
      <sz val="9"/>
      <color rgb="FF1A181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E7C7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  <fill>
      <patternFill patternType="solid">
        <fgColor rgb="FF0E7C7B"/>
        <bgColor rgb="FF008080"/>
      </patternFill>
    </fill>
    <fill>
      <patternFill patternType="solid">
        <fgColor rgb="FFFDFCFA"/>
        <bgColor rgb="FFFFFFFF"/>
      </patternFill>
    </fill>
    <fill>
      <patternFill patternType="solid">
        <fgColor rgb="FFE3F2FD"/>
        <bgColor rgb="FFE8F5E9"/>
      </patternFill>
    </fill>
    <fill>
      <patternFill patternType="solid">
        <fgColor rgb="FFE8E4DC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D0EBE8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B8720A"/>
        <bgColor rgb="FFFF6600"/>
      </patternFill>
    </fill>
    <fill>
      <patternFill patternType="solid">
        <fgColor rgb="FF4A454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20A"/>
      <rgbColor rgb="FF800080"/>
      <rgbColor rgb="FF0E7C7B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E8E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BE8"/>
      <rgbColor rgb="FFE8F5E9"/>
      <rgbColor rgb="FFFFF3E0"/>
      <rgbColor rgb="FF99CCFF"/>
      <rgbColor rgb="FFFF99CC"/>
      <rgbColor rgb="FFCC99FF"/>
      <rgbColor rgb="FFFDFCF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4A4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8" min="7" style="0" width="10"/>
    <col collapsed="false" customWidth="true" hidden="false" outlineLevel="0" max="10" min="9" style="0" width="14"/>
    <col collapsed="false" customWidth="true" hidden="false" outlineLevel="0" max="11" min="11" style="0" width="26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4"/>
    <col collapsed="false" customWidth="true" hidden="false" outlineLevel="0" max="18" min="18" style="0" width="14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n">
        <v>8</v>
      </c>
      <c r="E3" s="3" t="n">
        <v>8.7</v>
      </c>
      <c r="F3" s="3" t="n">
        <v>4.4</v>
      </c>
      <c r="G3" s="3" t="s">
        <v>22</v>
      </c>
      <c r="H3" s="3" t="s">
        <v>22</v>
      </c>
      <c r="I3" s="4" t="n">
        <f aca="false">IF(D3&gt;=6,IF(E3&gt;=8,9,IF(E3&gt;=7,7,5)),3)</f>
        <v>9</v>
      </c>
      <c r="J3" s="5" t="s">
        <v>23</v>
      </c>
      <c r="K3" s="3"/>
      <c r="L3" s="3" t="s">
        <v>24</v>
      </c>
      <c r="M3" s="3" t="str">
        <f aca="true">TEXT(TODAY(),"DD/MM/YYYY")</f>
        <v>10/05/2026</v>
      </c>
      <c r="N3" s="3" t="s">
        <v>25</v>
      </c>
      <c r="O3" s="3"/>
      <c r="P3" s="3" t="s">
        <v>25</v>
      </c>
      <c r="Q3" s="3"/>
      <c r="R3" s="3" t="s">
        <v>26</v>
      </c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21</v>
      </c>
      <c r="D4" s="6" t="n">
        <v>12</v>
      </c>
      <c r="E4" s="6" t="n">
        <v>8.9</v>
      </c>
      <c r="F4" s="6" t="n">
        <v>4.6</v>
      </c>
      <c r="G4" s="6" t="s">
        <v>22</v>
      </c>
      <c r="H4" s="6" t="s">
        <v>25</v>
      </c>
      <c r="I4" s="7" t="n">
        <f aca="false">IF(D4&gt;=6,IF(E4&gt;=8,9,IF(E4&gt;=7,7,5)),3)</f>
        <v>9</v>
      </c>
      <c r="J4" s="5" t="s">
        <v>23</v>
      </c>
      <c r="K4" s="6"/>
      <c r="L4" s="6" t="s">
        <v>24</v>
      </c>
      <c r="M4" s="6" t="str">
        <f aca="true">TEXT(TODAY(),"DD/MM/YYYY")</f>
        <v>10/05/2026</v>
      </c>
      <c r="N4" s="6" t="s">
        <v>25</v>
      </c>
      <c r="O4" s="6"/>
      <c r="P4" s="6" t="s">
        <v>25</v>
      </c>
      <c r="Q4" s="6"/>
      <c r="R4" s="6" t="s">
        <v>26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21</v>
      </c>
      <c r="D5" s="3" t="n">
        <v>6</v>
      </c>
      <c r="E5" s="3" t="n">
        <v>7.8</v>
      </c>
      <c r="F5" s="3" t="n">
        <v>4.1</v>
      </c>
      <c r="G5" s="3" t="s">
        <v>22</v>
      </c>
      <c r="H5" s="3" t="s">
        <v>22</v>
      </c>
      <c r="I5" s="4" t="n">
        <f aca="false">IF(D5&gt;=6,IF(E5&gt;=8,9,IF(E5&gt;=7,7,5)),3)</f>
        <v>7</v>
      </c>
      <c r="J5" s="5" t="s">
        <v>23</v>
      </c>
      <c r="K5" s="3"/>
      <c r="L5" s="3" t="s">
        <v>31</v>
      </c>
      <c r="M5" s="3" t="str">
        <f aca="true">TEXT(TODAY(),"DD/MM/YYYY")</f>
        <v>10/05/2026</v>
      </c>
      <c r="N5" s="3" t="s">
        <v>25</v>
      </c>
      <c r="O5" s="3"/>
      <c r="P5" s="3" t="s">
        <v>25</v>
      </c>
      <c r="Q5" s="3"/>
      <c r="R5" s="3" t="s">
        <v>26</v>
      </c>
    </row>
    <row r="6" customFormat="false" ht="15" hidden="false" customHeight="false" outlineLevel="0" collapsed="false">
      <c r="A6" s="6" t="s">
        <v>32</v>
      </c>
      <c r="B6" s="6" t="s">
        <v>33</v>
      </c>
      <c r="C6" s="6" t="s">
        <v>21</v>
      </c>
      <c r="D6" s="6" t="n">
        <v>15</v>
      </c>
      <c r="E6" s="6" t="n">
        <v>8.3</v>
      </c>
      <c r="F6" s="6" t="n">
        <v>4.3</v>
      </c>
      <c r="G6" s="6" t="s">
        <v>22</v>
      </c>
      <c r="H6" s="6" t="s">
        <v>22</v>
      </c>
      <c r="I6" s="7" t="n">
        <f aca="false">IF(D6&gt;=6,IF(E6&gt;=8,9,IF(E6&gt;=7,7,5)),3)</f>
        <v>9</v>
      </c>
      <c r="J6" s="8" t="s">
        <v>34</v>
      </c>
      <c r="K6" s="6" t="s">
        <v>35</v>
      </c>
      <c r="L6" s="6" t="s">
        <v>36</v>
      </c>
      <c r="M6" s="6" t="str">
        <f aca="true">TEXT(TODAY()-7,"DD/MM/YYYY")</f>
        <v>03/05/2026</v>
      </c>
      <c r="N6" s="6" t="s">
        <v>22</v>
      </c>
      <c r="O6" s="6" t="str">
        <f aca="true">TEXT(TODAY()-7,"DD/MM/YYYY")</f>
        <v>03/05/2026</v>
      </c>
      <c r="P6" s="6" t="s">
        <v>25</v>
      </c>
      <c r="Q6" s="6" t="s">
        <v>37</v>
      </c>
      <c r="R6" s="6" t="s">
        <v>26</v>
      </c>
    </row>
    <row r="7" customFormat="false" ht="15" hidden="false" customHeight="false" outlineLevel="0" collapsed="false">
      <c r="A7" s="3" t="s">
        <v>38</v>
      </c>
      <c r="B7" s="3" t="s">
        <v>39</v>
      </c>
      <c r="C7" s="3" t="s">
        <v>21</v>
      </c>
      <c r="D7" s="3" t="n">
        <v>10</v>
      </c>
      <c r="E7" s="3" t="n">
        <v>9.1</v>
      </c>
      <c r="F7" s="3" t="n">
        <v>4.8</v>
      </c>
      <c r="G7" s="3" t="s">
        <v>22</v>
      </c>
      <c r="H7" s="3" t="s">
        <v>22</v>
      </c>
      <c r="I7" s="4" t="n">
        <f aca="false">IF(D7&gt;=6,IF(E7&gt;=8,9,IF(E7&gt;=7,7,5)),3)</f>
        <v>9</v>
      </c>
      <c r="J7" s="9" t="s">
        <v>40</v>
      </c>
      <c r="K7" s="3" t="s">
        <v>41</v>
      </c>
      <c r="L7" s="3" t="s">
        <v>42</v>
      </c>
      <c r="M7" s="3" t="str">
        <f aca="true">TEXT(TODAY()-14,"DD/MM/YYYY")</f>
        <v>26/04/2026</v>
      </c>
      <c r="N7" s="3" t="s">
        <v>22</v>
      </c>
      <c r="O7" s="3" t="str">
        <f aca="true">TEXT(TODAY()-14,"DD/MM/YYYY")</f>
        <v>26/04/2026</v>
      </c>
      <c r="P7" s="3" t="s">
        <v>22</v>
      </c>
      <c r="Q7" s="3" t="s">
        <v>43</v>
      </c>
      <c r="R7" s="3" t="s">
        <v>26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7" min="4" style="0" width="16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13.5" hidden="false" customHeight="true" outlineLevel="0" collapsed="false">
      <c r="A1" s="10" t="s">
        <v>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30" hidden="false" customHeight="true" outlineLevel="0" collapsed="false">
      <c r="A2" s="2" t="s">
        <v>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17</v>
      </c>
    </row>
    <row r="3" customFormat="false" ht="22.35" hidden="false" customHeight="false" outlineLevel="0" collapsed="false">
      <c r="A3" s="3" t="s">
        <v>38</v>
      </c>
      <c r="B3" s="3" t="s">
        <v>56</v>
      </c>
      <c r="C3" s="3" t="s">
        <v>41</v>
      </c>
      <c r="D3" s="3" t="s">
        <v>57</v>
      </c>
      <c r="E3" s="11" t="s">
        <v>58</v>
      </c>
      <c r="F3" s="3" t="str">
        <f aca="true">TEXT(TODAY()-14,"DD/MM/YYYY")</f>
        <v>26/04/2026</v>
      </c>
      <c r="G3" s="3" t="str">
        <f aca="true">TEXT(TODAY()-2,"DD/MM/YYYY")</f>
        <v>08/05/2026</v>
      </c>
      <c r="H3" s="3" t="s">
        <v>59</v>
      </c>
      <c r="I3" s="3" t="str">
        <f aca="true">TEXT(TODAY()+1,"DD/MM/YYYY")</f>
        <v>11/05/2026</v>
      </c>
      <c r="J3" s="3" t="s">
        <v>60</v>
      </c>
      <c r="K3" s="3" t="n">
        <v>79</v>
      </c>
      <c r="L3" s="3" t="s">
        <v>61</v>
      </c>
      <c r="M3" s="3" t="s">
        <v>62</v>
      </c>
    </row>
    <row r="4" customFormat="false" ht="22.3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12" t="s">
        <v>67</v>
      </c>
      <c r="F4" s="6" t="str">
        <f aca="true">TEXT(TODAY()-21,"DD/MM/YYYY")</f>
        <v>19/04/2026</v>
      </c>
      <c r="G4" s="6" t="str">
        <f aca="true">TEXT(TODAY()-5,"DD/MM/YYYY")</f>
        <v>05/05/2026</v>
      </c>
      <c r="H4" s="6" t="s">
        <v>68</v>
      </c>
      <c r="I4" s="6" t="str">
        <f aca="true">TEXT(TODAY(),"DD/MM/YYYY")</f>
        <v>10/05/2026</v>
      </c>
      <c r="J4" s="6" t="s">
        <v>69</v>
      </c>
      <c r="K4" s="6" t="n">
        <v>149</v>
      </c>
      <c r="L4" s="6" t="s">
        <v>70</v>
      </c>
      <c r="M4" s="6" t="s">
        <v>71</v>
      </c>
    </row>
    <row r="5" customFormat="false" ht="22.35" hidden="false" customHeight="false" outlineLevel="0" collapsed="false">
      <c r="A5" s="3" t="s">
        <v>72</v>
      </c>
      <c r="B5" s="3" t="s">
        <v>73</v>
      </c>
      <c r="C5" s="3" t="s">
        <v>74</v>
      </c>
      <c r="D5" s="3" t="s">
        <v>75</v>
      </c>
      <c r="E5" s="13" t="s">
        <v>76</v>
      </c>
      <c r="F5" s="3" t="str">
        <f aca="true">TEXT(TODAY()-30,"DD/MM/YYYY")</f>
        <v>10/04/2026</v>
      </c>
      <c r="G5" s="3" t="str">
        <f aca="true">TEXT(TODAY()-1,"DD/MM/YYYY")</f>
        <v>09/05/2026</v>
      </c>
      <c r="H5" s="3" t="s">
        <v>77</v>
      </c>
      <c r="I5" s="3" t="str">
        <f aca="true">TEXT(TODAY()+2,"DD/MM/YYYY")</f>
        <v>12/05/2026</v>
      </c>
      <c r="J5" s="3" t="s">
        <v>60</v>
      </c>
      <c r="K5" s="3" t="n">
        <v>79</v>
      </c>
      <c r="L5" s="3" t="s">
        <v>78</v>
      </c>
      <c r="M5" s="3" t="s">
        <v>79</v>
      </c>
    </row>
    <row r="8" customFormat="false" ht="15" hidden="false" customHeight="false" outlineLevel="0" collapsed="false">
      <c r="J8" s="14" t="s">
        <v>80</v>
      </c>
      <c r="K8" s="15" t="n">
        <f aca="false">SUM(K3:K7)</f>
        <v>307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1" min="10" style="0" width="32"/>
    <col collapsed="false" customWidth="true" hidden="false" outlineLevel="0" max="12" min="12" style="0" width="22"/>
    <col collapsed="false" customWidth="true" hidden="false" outlineLevel="0" max="13" min="13" style="0" width="32"/>
    <col collapsed="false" customWidth="true" hidden="false" outlineLevel="0" max="14" min="14" style="0" width="14"/>
    <col collapsed="false" customWidth="true" hidden="false" outlineLevel="0" max="15" min="15" style="0" width="30"/>
    <col collapsed="false" customWidth="true" hidden="false" outlineLevel="0" max="16" min="16" style="0" width="24"/>
  </cols>
  <sheetData>
    <row r="1" customFormat="false" ht="13.5" hidden="false" customHeight="true" outlineLevel="0" collapsed="false">
      <c r="A1" s="16" t="s">
        <v>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30" hidden="false" customHeight="true" outlineLevel="0" collapsed="false">
      <c r="A2" s="17" t="s">
        <v>82</v>
      </c>
      <c r="B2" s="17" t="s">
        <v>83</v>
      </c>
      <c r="C2" s="17" t="s">
        <v>46</v>
      </c>
      <c r="D2" s="17" t="s">
        <v>47</v>
      </c>
      <c r="E2" s="17" t="s">
        <v>84</v>
      </c>
      <c r="F2" s="17" t="s">
        <v>85</v>
      </c>
      <c r="G2" s="17" t="s">
        <v>86</v>
      </c>
      <c r="H2" s="17" t="s">
        <v>87</v>
      </c>
      <c r="I2" s="17" t="s">
        <v>88</v>
      </c>
      <c r="J2" s="17" t="s">
        <v>89</v>
      </c>
      <c r="K2" s="17" t="s">
        <v>90</v>
      </c>
      <c r="L2" s="17" t="s">
        <v>91</v>
      </c>
      <c r="M2" s="17" t="s">
        <v>92</v>
      </c>
      <c r="N2" s="17" t="s">
        <v>93</v>
      </c>
      <c r="O2" s="17" t="s">
        <v>94</v>
      </c>
      <c r="P2" s="17" t="s">
        <v>17</v>
      </c>
    </row>
    <row r="3" customFormat="false" ht="22.35" hidden="false" customHeight="false" outlineLevel="0" collapsed="false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n">
        <v>79</v>
      </c>
      <c r="G3" s="3" t="s">
        <v>100</v>
      </c>
      <c r="H3" s="3" t="str">
        <f aca="false">TEXT(DATE(YEAR(G3)+1,MONTH(G3),DAY(G3)),"DD/MM/YYYY")</f>
        <v>03/01/2026</v>
      </c>
      <c r="I3" s="3" t="s">
        <v>101</v>
      </c>
      <c r="J3" s="3" t="s">
        <v>102</v>
      </c>
      <c r="K3" s="3" t="s">
        <v>103</v>
      </c>
      <c r="L3" s="3" t="s">
        <v>104</v>
      </c>
      <c r="M3" s="3" t="s">
        <v>105</v>
      </c>
      <c r="N3" s="3" t="s">
        <v>106</v>
      </c>
      <c r="O3" s="3" t="s">
        <v>107</v>
      </c>
      <c r="P3" s="3" t="s">
        <v>108</v>
      </c>
    </row>
    <row r="6" customFormat="false" ht="15" hidden="false" customHeight="false" outlineLevel="0" collapsed="false">
      <c r="E6" s="18" t="s">
        <v>109</v>
      </c>
      <c r="F6" s="19" t="n">
        <f aca="false">SUM(F3:F5)</f>
        <v>79</v>
      </c>
    </row>
    <row r="7" customFormat="false" ht="15" hidden="false" customHeight="false" outlineLevel="0" collapsed="false">
      <c r="E7" s="18" t="s">
        <v>110</v>
      </c>
      <c r="F7" s="20" t="n">
        <f aca="false">COUNTA(A3:A5)</f>
        <v>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24"/>
  </cols>
  <sheetData>
    <row r="1" customFormat="false" ht="13.5" hidden="false" customHeight="true" outlineLevel="0" collapsed="false">
      <c r="A1" s="21" t="s">
        <v>111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30" hidden="false" customHeight="true" outlineLevel="0" collapsed="false">
      <c r="A2" s="22" t="s">
        <v>112</v>
      </c>
      <c r="B2" s="22" t="s">
        <v>113</v>
      </c>
      <c r="C2" s="22" t="s">
        <v>114</v>
      </c>
      <c r="D2" s="22" t="s">
        <v>115</v>
      </c>
      <c r="E2" s="22" t="s">
        <v>116</v>
      </c>
      <c r="F2" s="22" t="s">
        <v>117</v>
      </c>
      <c r="G2" s="22" t="s">
        <v>118</v>
      </c>
      <c r="H2" s="22" t="s">
        <v>10</v>
      </c>
      <c r="I2" s="22" t="s">
        <v>119</v>
      </c>
      <c r="J2" s="22" t="s">
        <v>120</v>
      </c>
      <c r="K2" s="22" t="s">
        <v>17</v>
      </c>
    </row>
    <row r="3" customFormat="false" ht="79.5" hidden="false" customHeight="true" outlineLevel="0" collapsed="false">
      <c r="A3" s="3" t="s">
        <v>121</v>
      </c>
      <c r="B3" s="3" t="s">
        <v>42</v>
      </c>
      <c r="C3" s="3" t="s">
        <v>122</v>
      </c>
      <c r="D3" s="3" t="s">
        <v>123</v>
      </c>
      <c r="E3" s="23" t="s">
        <v>124</v>
      </c>
      <c r="F3" s="3" t="s">
        <v>125</v>
      </c>
      <c r="G3" s="3" t="s">
        <v>126</v>
      </c>
      <c r="H3" s="24" t="s">
        <v>127</v>
      </c>
      <c r="I3" s="3"/>
      <c r="J3" s="3"/>
      <c r="K3" s="3"/>
    </row>
    <row r="4" customFormat="false" ht="79.5" hidden="false" customHeight="true" outlineLevel="0" collapsed="false">
      <c r="A4" s="6" t="s">
        <v>121</v>
      </c>
      <c r="B4" s="6" t="s">
        <v>128</v>
      </c>
      <c r="C4" s="6" t="s">
        <v>129</v>
      </c>
      <c r="D4" s="6" t="s">
        <v>130</v>
      </c>
      <c r="E4" s="25" t="s">
        <v>131</v>
      </c>
      <c r="F4" s="6" t="s">
        <v>132</v>
      </c>
      <c r="G4" s="6" t="s">
        <v>133</v>
      </c>
      <c r="H4" s="13" t="s">
        <v>134</v>
      </c>
      <c r="I4" s="6"/>
      <c r="J4" s="6"/>
      <c r="K4" s="6" t="s">
        <v>135</v>
      </c>
    </row>
    <row r="5" customFormat="false" ht="79.5" hidden="false" customHeight="true" outlineLevel="0" collapsed="false">
      <c r="A5" s="3" t="s">
        <v>136</v>
      </c>
      <c r="B5" s="3" t="s">
        <v>42</v>
      </c>
      <c r="C5" s="3" t="s">
        <v>137</v>
      </c>
      <c r="D5" s="3" t="s">
        <v>138</v>
      </c>
      <c r="E5" s="23" t="s">
        <v>139</v>
      </c>
      <c r="F5" s="3" t="s">
        <v>140</v>
      </c>
      <c r="G5" s="3" t="s">
        <v>141</v>
      </c>
      <c r="H5" s="13" t="s">
        <v>134</v>
      </c>
      <c r="I5" s="3"/>
      <c r="J5" s="3"/>
      <c r="K5" s="3" t="s">
        <v>142</v>
      </c>
    </row>
    <row r="6" customFormat="false" ht="79.5" hidden="false" customHeight="true" outlineLevel="0" collapsed="false">
      <c r="A6" s="6" t="s">
        <v>136</v>
      </c>
      <c r="B6" s="6" t="s">
        <v>128</v>
      </c>
      <c r="C6" s="6" t="s">
        <v>143</v>
      </c>
      <c r="D6" s="6" t="s">
        <v>144</v>
      </c>
      <c r="E6" s="25" t="s">
        <v>145</v>
      </c>
      <c r="F6" s="6" t="s">
        <v>146</v>
      </c>
      <c r="G6" s="6" t="s">
        <v>147</v>
      </c>
      <c r="H6" s="13" t="s">
        <v>134</v>
      </c>
      <c r="I6" s="6"/>
      <c r="J6" s="6"/>
      <c r="K6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2026-05-10T14:00:14Z</dcterms:created>
  <dc:creator>openpyxl</dc:creator>
  <dc:description/>
  <dc:language>en-US</dc:language>
  <cp:lastModifiedBy/>
  <dcterms:modified xsi:type="dcterms:W3CDTF">2026-05-10T14:00:15Z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